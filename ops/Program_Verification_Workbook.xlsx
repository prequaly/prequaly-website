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grams" sheetId="2" state="visible" r:id="rId4"/>
    <sheet name="Income Tables" sheetId="3" state="visible" r:id="rId5"/>
    <sheet name="BMR Inventory" sheetId="4" state="visible" r:id="rId6"/>
    <sheet name="Pro Recruitme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<sst xmlns="http://schemas.openxmlformats.org/spreadsheetml/2006/main" count="410" uniqueCount="243">
  <si>
    <t xml:space="preserve">PREQUALY — PROGRAM DATA VERIFICATION WORKBOOK</t>
  </si>
  <si>
    <t xml:space="preserve">Purpose: confirm every seeded figure in the PreQualy database against official source guidelines before launch. This workbook feeds migration 002_seed.sql — every verified value gets a citation.</t>
  </si>
  <si>
    <t xml:space="preserve">HOW TO VERIFY A PROGRAM (Programs sheet, one row each):</t>
  </si>
  <si>
    <t xml:space="preserve">1. Open the Source URL. Find the CURRENT program guidelines or term sheet (PDF preferred).</t>
  </si>
  <si>
    <t xml:space="preserve">2. Confirm four things: max benefit amount/formula · income limit table &amp; year · funding status (open / waitlist / closed) · exact geography (city limits vs county, targeted tracts).</t>
  </si>
  <si>
    <t xml:space="preserve">3. Enter what the source says in the 'Verified …' columns (blue = your input). If it differs from seeded, set Status = 'Discrepancy found' and describe it in Notes.</t>
  </si>
  <si>
    <t xml:space="preserve">4. Paste the EXACT document URL (not the homepage) in 'Citation URL', add your initials and date.</t>
  </si>
  <si>
    <t xml:space="preserve">5. If you cannot find current guidelines online, call the administrator — phone numbers are on the source sites. Log the call in Notes.</t>
  </si>
  <si>
    <t xml:space="preserve">RULES: Never guess. 'Could not verify' is a valid, useful answer. Income limits change every spring when HUD publishes new AMI — record the effective year you found.</t>
  </si>
  <si>
    <t xml:space="preserve">PROGRESS (auto-updates from the Programs sheet):</t>
  </si>
  <si>
    <t xml:space="preserve">Programs verified:</t>
  </si>
  <si>
    <t xml:space="preserve">Discrepancies found:</t>
  </si>
  <si>
    <t xml:space="preserve">Not started:</t>
  </si>
  <si>
    <t xml:space="preserve">Percent complete:</t>
  </si>
  <si>
    <t xml:space="preserve">Slug</t>
  </si>
  <si>
    <t xml:space="preserve">Program name</t>
  </si>
  <si>
    <t xml:space="preserve">Administrator</t>
  </si>
  <si>
    <t xml:space="preserve">Geography (seeded)</t>
  </si>
  <si>
    <t xml:space="preserve">Seeded status</t>
  </si>
  <si>
    <t xml:space="preserve">Seeded benefit</t>
  </si>
  <si>
    <t xml:space="preserve">Seeded income basis</t>
  </si>
  <si>
    <t xml:space="preserve">Source URL</t>
  </si>
  <si>
    <t xml:space="preserve">Verified benefit (from source)</t>
  </si>
  <si>
    <t xml:space="preserve">Verified income limit / year</t>
  </si>
  <si>
    <t xml:space="preserve">Verified funding status</t>
  </si>
  <si>
    <t xml:space="preserve">Citation URL (exact doc)</t>
  </si>
  <si>
    <t xml:space="preserve">Verified by / date</t>
  </si>
  <si>
    <t xml:space="preserve">Status</t>
  </si>
  <si>
    <t xml:space="preserve">Notes</t>
  </si>
  <si>
    <t xml:space="preserve">myhome</t>
  </si>
  <si>
    <t xml:space="preserve">CalHFA MyHome Assistance</t>
  </si>
  <si>
    <t xml:space="preserve">CalHFA</t>
  </si>
  <si>
    <t xml:space="preserve">Statewide (all 5 counties)</t>
  </si>
  <si>
    <t xml:space="preserve">active</t>
  </si>
  <si>
    <t xml:space="preserve">3.5% of price, deferred</t>
  </si>
  <si>
    <t xml:space="preserve">calhfa_myhome (by county)</t>
  </si>
  <si>
    <t xml:space="preserve">https://www.calhfa.ca.gov/homeownership/limits/</t>
  </si>
  <si>
    <t xml:space="preserve">Not started</t>
  </si>
  <si>
    <t xml:space="preserve">zip</t>
  </si>
  <si>
    <t xml:space="preserve">CalPLUS + ZIP Closing Help</t>
  </si>
  <si>
    <t xml:space="preserve">Statewide</t>
  </si>
  <si>
    <t xml:space="preserve">3% of loan, 0% interest</t>
  </si>
  <si>
    <t xml:space="preserve">n/a</t>
  </si>
  <si>
    <t xml:space="preserve">https://www.calhfa.ca.gov/homeownership/programs/</t>
  </si>
  <si>
    <t xml:space="preserve">dream</t>
  </si>
  <si>
    <t xml:space="preserve">Dream For All Shared Appreciation</t>
  </si>
  <si>
    <t xml:space="preserve">lottery_closed</t>
  </si>
  <si>
    <t xml:space="preserve">min(20% of price, $150,000)</t>
  </si>
  <si>
    <t xml:space="preserve">calhfa_dream_for_all (by county)</t>
  </si>
  <si>
    <t xml:space="preserve">https://www.calhfa.ca.gov/dream/</t>
  </si>
  <si>
    <t xml:space="preserve">febl</t>
  </si>
  <si>
    <t xml:space="preserve">Forgivable Equity Builder Loan</t>
  </si>
  <si>
    <t xml:space="preserve">active_verify</t>
  </si>
  <si>
    <t xml:space="preserve">10% of price, forgiven 5 yrs</t>
  </si>
  <si>
    <t xml:space="preserve">calhfa_febl_80ami (by county)</t>
  </si>
  <si>
    <t xml:space="preserve">https://www.calhfa.ca.gov/homeownership/programs/forgivable.htm</t>
  </si>
  <si>
    <t xml:space="preserve">gsfa</t>
  </si>
  <si>
    <t xml:space="preserve">GSFA Platinum Grant</t>
  </si>
  <si>
    <t xml:space="preserve">Golden State Finance Authority</t>
  </si>
  <si>
    <t xml:space="preserve">up to 5.5% of loan</t>
  </si>
  <si>
    <t xml:space="preserve">gsfa_platinum (by county)</t>
  </si>
  <si>
    <t xml:space="preserve">https://www.gsfahome.org/programs/dpa/</t>
  </si>
  <si>
    <t xml:space="preserve">mcc</t>
  </si>
  <si>
    <t xml:space="preserve">Mortgage Credit Certificate</t>
  </si>
  <si>
    <t xml:space="preserve">County issuers</t>
  </si>
  <si>
    <t xml:space="preserve">Statewide (county-issued)</t>
  </si>
  <si>
    <t xml:space="preserve">tax credit ≤20% of interest</t>
  </si>
  <si>
    <t xml:space="preserve">https://www.calhfa.ca.gov/ (per county)</t>
  </si>
  <si>
    <t xml:space="preserve">va</t>
  </si>
  <si>
    <t xml:space="preserve">VA Home Loan</t>
  </si>
  <si>
    <t xml:space="preserve">U.S. Dept. of Veterans Affairs</t>
  </si>
  <si>
    <t xml:space="preserve">Nationwide</t>
  </si>
  <si>
    <t xml:space="preserve">$0 down financing</t>
  </si>
  <si>
    <t xml:space="preserve">https://www.va.gov/housing-assistance/home-loans/</t>
  </si>
  <si>
    <t xml:space="preserve">calvet</t>
  </si>
  <si>
    <t xml:space="preserve">CalVet Home Loan</t>
  </si>
  <si>
    <t xml:space="preserve">CalVet</t>
  </si>
  <si>
    <t xml:space="preserve">below-market financing</t>
  </si>
  <si>
    <t xml:space="preserve">https://www.calvet.ca.gov/calvet-programs/home-loans</t>
  </si>
  <si>
    <t xml:space="preserve">la-lipa</t>
  </si>
  <si>
    <t xml:space="preserve">LA Low Income Purchase Assistance</t>
  </si>
  <si>
    <t xml:space="preserve">City of LA LAHD</t>
  </si>
  <si>
    <t xml:space="preserve">City of Los Angeles</t>
  </si>
  <si>
    <t xml:space="preserve">up to $140,000</t>
  </si>
  <si>
    <t xml:space="preserve">la_lipa_low (by size)</t>
  </si>
  <si>
    <t xml:space="preserve">https://housing.lacity.gov/homeownership</t>
  </si>
  <si>
    <t xml:space="preserve">la-mipa</t>
  </si>
  <si>
    <t xml:space="preserve">LA Moderate Income Purchase Assistance</t>
  </si>
  <si>
    <t xml:space="preserve">up to $115,000</t>
  </si>
  <si>
    <t xml:space="preserve">~150% AMI (by size)</t>
  </si>
  <si>
    <t xml:space="preserve">lacda</t>
  </si>
  <si>
    <t xml:space="preserve">LA County Affordable Homeownership</t>
  </si>
  <si>
    <t xml:space="preserve">LACDA</t>
  </si>
  <si>
    <t xml:space="preserve">LA County excl. City of LA</t>
  </si>
  <si>
    <t xml:space="preserve">up to $75,000</t>
  </si>
  <si>
    <t xml:space="preserve">verify current table</t>
  </si>
  <si>
    <t xml:space="preserve">https://www.lacda.org/</t>
  </si>
  <si>
    <t xml:space="preserve">long-beach</t>
  </si>
  <si>
    <t xml:space="preserve">Long Beach First-Time Homebuyer</t>
  </si>
  <si>
    <t xml:space="preserve">City of Long Beach</t>
  </si>
  <si>
    <t xml:space="preserve">Long Beach</t>
  </si>
  <si>
    <t xml:space="preserve">up to $50,000</t>
  </si>
  <si>
    <t xml:space="preserve">long_beach_80ami (by size)</t>
  </si>
  <si>
    <t xml:space="preserve">https://www.longbeach.gov/</t>
  </si>
  <si>
    <t xml:space="preserve">oc-map</t>
  </si>
  <si>
    <t xml:space="preserve">Orange County MAP</t>
  </si>
  <si>
    <t xml:space="preserve">OC Housing &amp; Community Dev.</t>
  </si>
  <si>
    <t xml:space="preserve">Participating OC cities</t>
  </si>
  <si>
    <t xml:space="preserve">min(20% of price, $80,000)</t>
  </si>
  <si>
    <t xml:space="preserve">oc_map_80ami (by size)</t>
  </si>
  <si>
    <t xml:space="preserve">https://www.ochousing.org/</t>
  </si>
  <si>
    <t xml:space="preserve">oc-santaana</t>
  </si>
  <si>
    <t xml:space="preserve">Santa Ana Down Payment Assistance</t>
  </si>
  <si>
    <t xml:space="preserve">City of Santa Ana</t>
  </si>
  <si>
    <t xml:space="preserve">Santa Ana</t>
  </si>
  <si>
    <t xml:space="preserve">up to $40,000</t>
  </si>
  <si>
    <t xml:space="preserve">orange_80ami (by size)</t>
  </si>
  <si>
    <t xml:space="preserve">https://www.santa-ana.org/</t>
  </si>
  <si>
    <t xml:space="preserve">oc-irvine-clt</t>
  </si>
  <si>
    <t xml:space="preserve">Irvine CLT Home</t>
  </si>
  <si>
    <t xml:space="preserve">Irvine Community Land Trust</t>
  </si>
  <si>
    <t xml:space="preserve">Irvine</t>
  </si>
  <si>
    <t xml:space="preserve">BMR price (varies)</t>
  </si>
  <si>
    <t xml:space="preserve">https://irvineclt.org/</t>
  </si>
  <si>
    <t xml:space="preserve">riv-homestarter</t>
  </si>
  <si>
    <t xml:space="preserve">Riverside HomeStarter</t>
  </si>
  <si>
    <t xml:space="preserve">City of Riverside</t>
  </si>
  <si>
    <t xml:space="preserve">verify</t>
  </si>
  <si>
    <t xml:space="preserve">https://riversideca.gov/</t>
  </si>
  <si>
    <t xml:space="preserve">riv-plha</t>
  </si>
  <si>
    <t xml:space="preserve">Riverside County PLHA</t>
  </si>
  <si>
    <t xml:space="preserve">Riverside County HWS</t>
  </si>
  <si>
    <t xml:space="preserve">County excl. City of Riverside</t>
  </si>
  <si>
    <t xml:space="preserve">min(20%, $100,000), forgiven 30 yrs</t>
  </si>
  <si>
    <t xml:space="preserve">riverside_plha_120ami (by size)</t>
  </si>
  <si>
    <t xml:space="preserve">https://rivcohws.org/</t>
  </si>
  <si>
    <t xml:space="preserve">riv-home</t>
  </si>
  <si>
    <t xml:space="preserve">Riverside County HOME</t>
  </si>
  <si>
    <t xml:space="preserve">Riverside County</t>
  </si>
  <si>
    <t xml:space="preserve">up to $60,000, forgiven 15 yrs</t>
  </si>
  <si>
    <t xml:space="preserve">riverside_home_80ami (by size)</t>
  </si>
  <si>
    <t xml:space="preserve">mor-valley</t>
  </si>
  <si>
    <t xml:space="preserve">Moreno Valley Homebuyer Assistance</t>
  </si>
  <si>
    <t xml:space="preserve">City of Moreno Valley</t>
  </si>
  <si>
    <t xml:space="preserve">Moreno Valley</t>
  </si>
  <si>
    <t xml:space="preserve">ie_80ami (by size)</t>
  </si>
  <si>
    <t xml:space="preserve">https://moval.gov/</t>
  </si>
  <si>
    <t xml:space="preserve">sb-nhsie</t>
  </si>
  <si>
    <t xml:space="preserve">NHSIE CalHome</t>
  </si>
  <si>
    <t xml:space="preserve">Neighborhood Housing Services IE</t>
  </si>
  <si>
    <t xml:space="preserve">San Bernardino County</t>
  </si>
  <si>
    <t xml:space="preserve">up to $55,000</t>
  </si>
  <si>
    <t xml:space="preserve">https://www.nhsie.org/</t>
  </si>
  <si>
    <t xml:space="preserve">ie-iedpa</t>
  </si>
  <si>
    <t xml:space="preserve">Inland Empire DPA (IEDPA)</t>
  </si>
  <si>
    <t xml:space="preserve">NPHS</t>
  </si>
  <si>
    <t xml:space="preserve">San Bernardino + Riverside</t>
  </si>
  <si>
    <t xml:space="preserve">up to $40,000, 0%, 30-yr deferred</t>
  </si>
  <si>
    <t xml:space="preserve">ie_120ami (by size)</t>
  </si>
  <si>
    <t xml:space="preserve">https://nphsinc.org/</t>
  </si>
  <si>
    <t xml:space="preserve">ontario-hb</t>
  </si>
  <si>
    <t xml:space="preserve">Ontario Homebuyer Assistance</t>
  </si>
  <si>
    <t xml:space="preserve">City of Ontario / NPHS</t>
  </si>
  <si>
    <t xml:space="preserve">Ontario</t>
  </si>
  <si>
    <t xml:space="preserve">up to $60,000</t>
  </si>
  <si>
    <t xml:space="preserve">https://www.ontarioca.gov/</t>
  </si>
  <si>
    <t xml:space="preserve">sd-city-low</t>
  </si>
  <si>
    <t xml:space="preserve">SDHC First-Time Homebuyer</t>
  </si>
  <si>
    <t xml:space="preserve">San Diego Housing Commission</t>
  </si>
  <si>
    <t xml:space="preserve">City of San Diego</t>
  </si>
  <si>
    <t xml:space="preserve">19% of price + $10K closing grant</t>
  </si>
  <si>
    <t xml:space="preserve">san_diego_80ami (by size)</t>
  </si>
  <si>
    <t xml:space="preserve">https://www.sdhc.org/</t>
  </si>
  <si>
    <t xml:space="preserve">sd-dcca</t>
  </si>
  <si>
    <t xml:space="preserve">County of San Diego DCCA</t>
  </si>
  <si>
    <t xml:space="preserve">County of San Diego</t>
  </si>
  <si>
    <t xml:space="preserve">County excl. City of SD</t>
  </si>
  <si>
    <t xml:space="preserve">22% of price + closing help</t>
  </si>
  <si>
    <t xml:space="preserve">https://www.sandiegocounty.gov/</t>
  </si>
  <si>
    <t xml:space="preserve">sd-afs</t>
  </si>
  <si>
    <t xml:space="preserve">SDHC Affordable For-Sale Home</t>
  </si>
  <si>
    <t xml:space="preserve">San Diego County</t>
  </si>
  <si>
    <t xml:space="preserve">~120% AMI (by size)</t>
  </si>
  <si>
    <t xml:space="preserve">Table (basis)</t>
  </si>
  <si>
    <t xml:space="preserve">Key (county or HH size)</t>
  </si>
  <si>
    <t xml:space="preserve">Seeded limit ($)</t>
  </si>
  <si>
    <t xml:space="preserve">Verified limit ($)</t>
  </si>
  <si>
    <t xml:space="preserve">Effective year found</t>
  </si>
  <si>
    <t xml:space="preserve">Source URL used</t>
  </si>
  <si>
    <t xml:space="preserve">Match?</t>
  </si>
  <si>
    <t xml:space="preserve">calhfa_myhome (county)</t>
  </si>
  <si>
    <t xml:space="preserve">Los Angeles</t>
  </si>
  <si>
    <t xml:space="preserve">Orange</t>
  </si>
  <si>
    <t xml:space="preserve">Riverside</t>
  </si>
  <si>
    <t xml:space="preserve">San Bernardino</t>
  </si>
  <si>
    <t xml:space="preserve">San Diego</t>
  </si>
  <si>
    <t xml:space="preserve">calhfa_dream_for_all (county)</t>
  </si>
  <si>
    <t xml:space="preserve">calhfa_febl_80ami (county)</t>
  </si>
  <si>
    <t xml:space="preserve">la_lipa_low (size)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</si>
  <si>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</si>
  <si>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</si>
  <si>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</si>
  <si>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</si>
  <si>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</si>
  <si>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long_beach_80ami (size)</t>
  </si>
  <si>
    <t xml:space="preserve">oc_map_80ami / orange_80ami (size)</t>
  </si>
  <si>
    <t xml:space="preserve">riverside_plha_120ami / ie_120ami (size)</t>
  </si>
  <si>
    <t xml:space="preserve">riverside_home_80ami / ie_80ami (size)</t>
  </si>
  <si>
    <t xml:space="preserve">san_diego_80ami (size)</t>
  </si>
  <si>
    <t xml:space="preserve">san_diego_120ami (size)</t>
  </si>
  <si>
    <t xml:space="preserve">County</t>
  </si>
  <si>
    <t xml:space="preserve">Source / program</t>
  </si>
  <si>
    <t xml:space="preserve">Development or property</t>
  </si>
  <si>
    <t xml:space="preserve">Address</t>
  </si>
  <si>
    <t xml:space="preserve">Units avail.</t>
  </si>
  <si>
    <t xml:space="preserve">Price ($)</t>
  </si>
  <si>
    <t xml:space="preserve">Income cap basis</t>
  </si>
  <si>
    <t xml:space="preserve">Application deadline</t>
  </si>
  <si>
    <t xml:space="preserve">Contact</t>
  </si>
  <si>
    <t xml:space="preserve">Date checked</t>
  </si>
  <si>
    <t xml:space="preserve">(research current listings)</t>
  </si>
  <si>
    <t xml:space="preserve">~80% AMI Orange</t>
  </si>
  <si>
    <t xml:space="preserve">https://irvineclt.org/homes-for-sale/</t>
  </si>
  <si>
    <t xml:space="preserve">SDHC Affordable For-Sale</t>
  </si>
  <si>
    <t xml:space="preserve">~120% AMI SD</t>
  </si>
  <si>
    <t xml:space="preserve">https://www.sdhc.org/housing-opportunities/</t>
  </si>
  <si>
    <t xml:space="preserve">All 5</t>
  </si>
  <si>
    <t xml:space="preserve">CA HCD affordable ownership lists</t>
  </si>
  <si>
    <t xml:space="preserve">(research per county)</t>
  </si>
  <si>
    <t xml:space="preserve">varies</t>
  </si>
  <si>
    <t xml:space="preserve">https://www.hcd.ca.gov/</t>
  </si>
  <si>
    <t xml:space="preserve">LA County BMR / LACDA</t>
  </si>
  <si>
    <t xml:space="preserve">NPHS new-construction CHDO homes</t>
  </si>
  <si>
    <t xml:space="preserve">~80% AMI IE</t>
  </si>
  <si>
    <t xml:space="preserve">Name</t>
  </si>
  <si>
    <t xml:space="preserve">Organization</t>
  </si>
  <si>
    <t xml:space="preserve">Type</t>
  </si>
  <si>
    <t xml:space="preserve">Counties served</t>
  </si>
  <si>
    <t xml:space="preserve">Languages</t>
  </si>
  <si>
    <t xml:space="preserve">License # (NMLS/DRE)</t>
  </si>
  <si>
    <t xml:space="preserve">License checked?</t>
  </si>
  <si>
    <t xml:space="preserve">Email / phone</t>
  </si>
  <si>
    <t xml:space="preserve">Last contact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</si>
</sst>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2036"/>
        <bgColor rgb="FF003300"/>
      </patternFill>
    </fill>
    <fill>
      <patternFill patternType="solid">
        <fgColor rgb="FFEAF4F5"/>
        <bgColor rgb="FFDCE8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8EA"/>
      </left>
      <right style="thin">
        <color rgb="FFDCE8EA"/>
      </right>
      <top style="thin">
        <color rgb="FFDCE8EA"/>
      </top>
      <bottom style="thin">
        <color rgb="FFDCE8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4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0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23.8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3" t="s">
        <v>10</v>
      </c>
      <c r="B14" s="4" t="n">
        <f aca="false">COUNTIF(Programs!N:N,"Verified")</f>
        <v>0</v>
      </c>
    </row>
    <row r="15" customFormat="false" ht="15" hidden="false" customHeight="false" outlineLevel="0" collapsed="false">
      <c r="A15" s="3" t="s">
        <v>11</v>
      </c>
      <c r="B15" s="4" t="n">
        <f aca="false">COUNTIF(Programs!N:N,"Discrepancy found")</f>
        <v>0</v>
      </c>
    </row>
    <row r="16" customFormat="false" ht="15" hidden="false" customHeight="false" outlineLevel="0" collapsed="false">
      <c r="A16" s="3" t="s">
        <v>12</v>
      </c>
      <c r="B16" s="4" t="n">
        <f aca="false">COUNTIF(Programs!N:N,"Not started")</f>
        <v>25</v>
      </c>
    </row>
    <row r="17" customFormat="false" ht="15" hidden="false" customHeight="false" outlineLevel="0" collapsed="false">
      <c r="A17" s="3" t="s">
        <v>13</v>
      </c>
      <c r="B17" s="5" t="n">
        <f aca="false">COUNTIF(Programs!N:N,"Verified")/25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4" min="3" style="0" width="26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34"/>
    <col collapsed="false" customWidth="true" hidden="false" outlineLevel="0" max="9" min="9" style="0" width="26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34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36"/>
  </cols>
  <sheetData>
    <row r="1" customFormat="false" ht="23.85" hidden="false" customHeight="fals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</row>
    <row r="2" customFormat="false" ht="23.85" hidden="false" customHeight="false" outlineLevel="0" collapsed="false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8"/>
      <c r="J2" s="8"/>
      <c r="K2" s="8"/>
      <c r="L2" s="8"/>
      <c r="M2" s="8"/>
      <c r="N2" s="9" t="s">
        <v>37</v>
      </c>
      <c r="O2" s="9"/>
    </row>
    <row r="3" customFormat="false" ht="23.85" hidden="false" customHeight="false" outlineLevel="0" collapsed="false">
      <c r="A3" s="10" t="s">
        <v>38</v>
      </c>
      <c r="B3" s="10" t="s">
        <v>39</v>
      </c>
      <c r="C3" s="10" t="s">
        <v>31</v>
      </c>
      <c r="D3" s="10" t="s">
        <v>40</v>
      </c>
      <c r="E3" s="10" t="s">
        <v>33</v>
      </c>
      <c r="F3" s="10" t="s">
        <v>41</v>
      </c>
      <c r="G3" s="10" t="s">
        <v>42</v>
      </c>
      <c r="H3" s="10" t="s">
        <v>43</v>
      </c>
      <c r="I3" s="11"/>
      <c r="J3" s="11"/>
      <c r="K3" s="11"/>
      <c r="L3" s="11"/>
      <c r="M3" s="11"/>
      <c r="N3" s="12" t="s">
        <v>37</v>
      </c>
      <c r="O3" s="12"/>
    </row>
    <row r="4" customFormat="false" ht="23.85" hidden="false" customHeight="false" outlineLevel="0" collapsed="false">
      <c r="A4" s="7" t="s">
        <v>44</v>
      </c>
      <c r="B4" s="7" t="s">
        <v>45</v>
      </c>
      <c r="C4" s="7" t="s">
        <v>31</v>
      </c>
      <c r="D4" s="7" t="s">
        <v>40</v>
      </c>
      <c r="E4" s="7" t="s">
        <v>46</v>
      </c>
      <c r="F4" s="7" t="s">
        <v>47</v>
      </c>
      <c r="G4" s="7" t="s">
        <v>48</v>
      </c>
      <c r="H4" s="7" t="s">
        <v>49</v>
      </c>
      <c r="I4" s="8"/>
      <c r="J4" s="8"/>
      <c r="K4" s="8"/>
      <c r="L4" s="8"/>
      <c r="M4" s="8"/>
      <c r="N4" s="9" t="s">
        <v>37</v>
      </c>
      <c r="O4" s="9"/>
    </row>
    <row r="5" customFormat="false" ht="23.85" hidden="false" customHeight="false" outlineLevel="0" collapsed="false">
      <c r="A5" s="10" t="s">
        <v>50</v>
      </c>
      <c r="B5" s="10" t="s">
        <v>51</v>
      </c>
      <c r="C5" s="10" t="s">
        <v>31</v>
      </c>
      <c r="D5" s="10" t="s">
        <v>40</v>
      </c>
      <c r="E5" s="10" t="s">
        <v>52</v>
      </c>
      <c r="F5" s="10" t="s">
        <v>53</v>
      </c>
      <c r="G5" s="10" t="s">
        <v>54</v>
      </c>
      <c r="H5" s="10" t="s">
        <v>55</v>
      </c>
      <c r="I5" s="11"/>
      <c r="J5" s="11"/>
      <c r="K5" s="11"/>
      <c r="L5" s="11"/>
      <c r="M5" s="11"/>
      <c r="N5" s="12" t="s">
        <v>37</v>
      </c>
      <c r="O5" s="12"/>
    </row>
    <row r="6" customFormat="false" ht="15" hidden="false" customHeight="false" outlineLevel="0" collapsed="false">
      <c r="A6" s="7" t="s">
        <v>56</v>
      </c>
      <c r="B6" s="7" t="s">
        <v>57</v>
      </c>
      <c r="C6" s="7" t="s">
        <v>58</v>
      </c>
      <c r="D6" s="7" t="s">
        <v>40</v>
      </c>
      <c r="E6" s="7" t="s">
        <v>33</v>
      </c>
      <c r="F6" s="7" t="s">
        <v>59</v>
      </c>
      <c r="G6" s="7" t="s">
        <v>60</v>
      </c>
      <c r="H6" s="7" t="s">
        <v>61</v>
      </c>
      <c r="I6" s="8"/>
      <c r="J6" s="8"/>
      <c r="K6" s="8"/>
      <c r="L6" s="8"/>
      <c r="M6" s="8"/>
      <c r="N6" s="9" t="s">
        <v>37</v>
      </c>
      <c r="O6" s="9"/>
    </row>
    <row r="7" customFormat="false" ht="15" hidden="false" customHeight="false" outlineLevel="0" collapsed="false">
      <c r="A7" s="10" t="s">
        <v>62</v>
      </c>
      <c r="B7" s="10" t="s">
        <v>63</v>
      </c>
      <c r="C7" s="10" t="s">
        <v>64</v>
      </c>
      <c r="D7" s="10" t="s">
        <v>65</v>
      </c>
      <c r="E7" s="10" t="s">
        <v>52</v>
      </c>
      <c r="F7" s="10" t="s">
        <v>66</v>
      </c>
      <c r="G7" s="10" t="s">
        <v>42</v>
      </c>
      <c r="H7" s="10" t="s">
        <v>67</v>
      </c>
      <c r="I7" s="11"/>
      <c r="J7" s="11"/>
      <c r="K7" s="11"/>
      <c r="L7" s="11"/>
      <c r="M7" s="11"/>
      <c r="N7" s="12" t="s">
        <v>37</v>
      </c>
      <c r="O7" s="12"/>
    </row>
    <row r="8" customFormat="false" ht="23.85" hidden="false" customHeight="false" outlineLevel="0" collapsed="false">
      <c r="A8" s="7" t="s">
        <v>68</v>
      </c>
      <c r="B8" s="7" t="s">
        <v>69</v>
      </c>
      <c r="C8" s="7" t="s">
        <v>70</v>
      </c>
      <c r="D8" s="7" t="s">
        <v>71</v>
      </c>
      <c r="E8" s="7" t="s">
        <v>33</v>
      </c>
      <c r="F8" s="7" t="s">
        <v>72</v>
      </c>
      <c r="G8" s="7" t="s">
        <v>42</v>
      </c>
      <c r="H8" s="7" t="s">
        <v>73</v>
      </c>
      <c r="I8" s="8"/>
      <c r="J8" s="8"/>
      <c r="K8" s="8"/>
      <c r="L8" s="8"/>
      <c r="M8" s="8"/>
      <c r="N8" s="9" t="s">
        <v>37</v>
      </c>
      <c r="O8" s="9"/>
    </row>
    <row r="9" customFormat="false" ht="23.85" hidden="false" customHeight="false" outlineLevel="0" collapsed="false">
      <c r="A9" s="10" t="s">
        <v>74</v>
      </c>
      <c r="B9" s="10" t="s">
        <v>75</v>
      </c>
      <c r="C9" s="10" t="s">
        <v>76</v>
      </c>
      <c r="D9" s="10" t="s">
        <v>40</v>
      </c>
      <c r="E9" s="10" t="s">
        <v>33</v>
      </c>
      <c r="F9" s="10" t="s">
        <v>77</v>
      </c>
      <c r="G9" s="10" t="s">
        <v>42</v>
      </c>
      <c r="H9" s="10" t="s">
        <v>78</v>
      </c>
      <c r="I9" s="11"/>
      <c r="J9" s="11"/>
      <c r="K9" s="11"/>
      <c r="L9" s="11"/>
      <c r="M9" s="11"/>
      <c r="N9" s="12" t="s">
        <v>37</v>
      </c>
      <c r="O9" s="12"/>
    </row>
    <row r="10" customFormat="false" ht="15" hidden="false" customHeight="false" outlineLevel="0" collapsed="false">
      <c r="A10" s="7" t="s">
        <v>79</v>
      </c>
      <c r="B10" s="7" t="s">
        <v>80</v>
      </c>
      <c r="C10" s="7" t="s">
        <v>81</v>
      </c>
      <c r="D10" s="7" t="s">
        <v>82</v>
      </c>
      <c r="E10" s="7" t="s">
        <v>33</v>
      </c>
      <c r="F10" s="7" t="s">
        <v>83</v>
      </c>
      <c r="G10" s="7" t="s">
        <v>84</v>
      </c>
      <c r="H10" s="7" t="s">
        <v>85</v>
      </c>
      <c r="I10" s="8"/>
      <c r="J10" s="8"/>
      <c r="K10" s="8"/>
      <c r="L10" s="8"/>
      <c r="M10" s="8"/>
      <c r="N10" s="9" t="s">
        <v>37</v>
      </c>
      <c r="O10" s="9"/>
    </row>
    <row r="11" customFormat="false" ht="23.85" hidden="false" customHeight="false" outlineLevel="0" collapsed="false">
      <c r="A11" s="10" t="s">
        <v>86</v>
      </c>
      <c r="B11" s="10" t="s">
        <v>87</v>
      </c>
      <c r="C11" s="10" t="s">
        <v>81</v>
      </c>
      <c r="D11" s="10" t="s">
        <v>82</v>
      </c>
      <c r="E11" s="10" t="s">
        <v>52</v>
      </c>
      <c r="F11" s="10" t="s">
        <v>88</v>
      </c>
      <c r="G11" s="10" t="s">
        <v>89</v>
      </c>
      <c r="H11" s="10" t="s">
        <v>85</v>
      </c>
      <c r="I11" s="11"/>
      <c r="J11" s="11"/>
      <c r="K11" s="11"/>
      <c r="L11" s="11"/>
      <c r="M11" s="11"/>
      <c r="N11" s="12" t="s">
        <v>37</v>
      </c>
      <c r="O11" s="12"/>
    </row>
    <row r="12" customFormat="false" ht="15" hidden="false" customHeight="false" outlineLevel="0" collapsed="false">
      <c r="A12" s="7" t="s">
        <v>90</v>
      </c>
      <c r="B12" s="7" t="s">
        <v>91</v>
      </c>
      <c r="C12" s="7" t="s">
        <v>92</v>
      </c>
      <c r="D12" s="7" t="s">
        <v>93</v>
      </c>
      <c r="E12" s="7" t="s">
        <v>52</v>
      </c>
      <c r="F12" s="7" t="s">
        <v>94</v>
      </c>
      <c r="G12" s="7" t="s">
        <v>95</v>
      </c>
      <c r="H12" s="7" t="s">
        <v>96</v>
      </c>
      <c r="I12" s="8"/>
      <c r="J12" s="8"/>
      <c r="K12" s="8"/>
      <c r="L12" s="8"/>
      <c r="M12" s="8"/>
      <c r="N12" s="9" t="s">
        <v>37</v>
      </c>
      <c r="O12" s="9"/>
    </row>
    <row r="13" customFormat="false" ht="15" hidden="false" customHeight="false" outlineLevel="0" collapsed="false">
      <c r="A13" s="10" t="s">
        <v>97</v>
      </c>
      <c r="B13" s="10" t="s">
        <v>98</v>
      </c>
      <c r="C13" s="10" t="s">
        <v>99</v>
      </c>
      <c r="D13" s="10" t="s">
        <v>100</v>
      </c>
      <c r="E13" s="10" t="s">
        <v>52</v>
      </c>
      <c r="F13" s="10" t="s">
        <v>101</v>
      </c>
      <c r="G13" s="10" t="s">
        <v>102</v>
      </c>
      <c r="H13" s="10" t="s">
        <v>103</v>
      </c>
      <c r="I13" s="11"/>
      <c r="J13" s="11"/>
      <c r="K13" s="11"/>
      <c r="L13" s="11"/>
      <c r="M13" s="11"/>
      <c r="N13" s="12" t="s">
        <v>37</v>
      </c>
      <c r="O13" s="12"/>
    </row>
    <row r="14" customFormat="false" ht="15" hidden="false" customHeight="false" outlineLevel="0" collapsed="false">
      <c r="A14" s="7" t="s">
        <v>104</v>
      </c>
      <c r="B14" s="7" t="s">
        <v>105</v>
      </c>
      <c r="C14" s="7" t="s">
        <v>106</v>
      </c>
      <c r="D14" s="7" t="s">
        <v>107</v>
      </c>
      <c r="E14" s="7" t="s">
        <v>33</v>
      </c>
      <c r="F14" s="7" t="s">
        <v>108</v>
      </c>
      <c r="G14" s="7" t="s">
        <v>109</v>
      </c>
      <c r="H14" s="7" t="s">
        <v>110</v>
      </c>
      <c r="I14" s="8"/>
      <c r="J14" s="8"/>
      <c r="K14" s="8"/>
      <c r="L14" s="8"/>
      <c r="M14" s="8"/>
      <c r="N14" s="9" t="s">
        <v>37</v>
      </c>
      <c r="O14" s="9"/>
    </row>
    <row r="15" customFormat="false" ht="15" hidden="false" customHeight="false" outlineLevel="0" collapsed="false">
      <c r="A15" s="10" t="s">
        <v>111</v>
      </c>
      <c r="B15" s="10" t="s">
        <v>112</v>
      </c>
      <c r="C15" s="10" t="s">
        <v>113</v>
      </c>
      <c r="D15" s="10" t="s">
        <v>114</v>
      </c>
      <c r="E15" s="10" t="s">
        <v>52</v>
      </c>
      <c r="F15" s="10" t="s">
        <v>115</v>
      </c>
      <c r="G15" s="10" t="s">
        <v>116</v>
      </c>
      <c r="H15" s="10" t="s">
        <v>117</v>
      </c>
      <c r="I15" s="11"/>
      <c r="J15" s="11"/>
      <c r="K15" s="11"/>
      <c r="L15" s="11"/>
      <c r="M15" s="11"/>
      <c r="N15" s="12" t="s">
        <v>37</v>
      </c>
      <c r="O15" s="12"/>
    </row>
    <row r="16" customFormat="false" ht="15" hidden="false" customHeight="false" outlineLevel="0" collapsed="false">
      <c r="A16" s="7" t="s">
        <v>118</v>
      </c>
      <c r="B16" s="7" t="s">
        <v>119</v>
      </c>
      <c r="C16" s="7" t="s">
        <v>120</v>
      </c>
      <c r="D16" s="7" t="s">
        <v>121</v>
      </c>
      <c r="E16" s="7" t="s">
        <v>52</v>
      </c>
      <c r="F16" s="7" t="s">
        <v>122</v>
      </c>
      <c r="G16" s="7" t="s">
        <v>116</v>
      </c>
      <c r="H16" s="7" t="s">
        <v>123</v>
      </c>
      <c r="I16" s="8"/>
      <c r="J16" s="8"/>
      <c r="K16" s="8"/>
      <c r="L16" s="8"/>
      <c r="M16" s="8"/>
      <c r="N16" s="9" t="s">
        <v>37</v>
      </c>
      <c r="O16" s="9"/>
    </row>
    <row r="17" customFormat="false" ht="15" hidden="false" customHeight="false" outlineLevel="0" collapsed="false">
      <c r="A17" s="10" t="s">
        <v>124</v>
      </c>
      <c r="B17" s="10" t="s">
        <v>125</v>
      </c>
      <c r="C17" s="10" t="s">
        <v>126</v>
      </c>
      <c r="D17" s="10" t="s">
        <v>126</v>
      </c>
      <c r="E17" s="10" t="s">
        <v>33</v>
      </c>
      <c r="F17" s="10" t="s">
        <v>101</v>
      </c>
      <c r="G17" s="10" t="s">
        <v>127</v>
      </c>
      <c r="H17" s="10" t="s">
        <v>128</v>
      </c>
      <c r="I17" s="11"/>
      <c r="J17" s="11"/>
      <c r="K17" s="11"/>
      <c r="L17" s="11"/>
      <c r="M17" s="11"/>
      <c r="N17" s="12" t="s">
        <v>37</v>
      </c>
      <c r="O17" s="12"/>
    </row>
    <row r="18" customFormat="false" ht="23.85" hidden="false" customHeight="false" outlineLevel="0" collapsed="false">
      <c r="A18" s="7" t="s">
        <v>129</v>
      </c>
      <c r="B18" s="7" t="s">
        <v>130</v>
      </c>
      <c r="C18" s="7" t="s">
        <v>131</v>
      </c>
      <c r="D18" s="7" t="s">
        <v>132</v>
      </c>
      <c r="E18" s="7" t="s">
        <v>33</v>
      </c>
      <c r="F18" s="7" t="s">
        <v>133</v>
      </c>
      <c r="G18" s="7" t="s">
        <v>134</v>
      </c>
      <c r="H18" s="7" t="s">
        <v>135</v>
      </c>
      <c r="I18" s="8"/>
      <c r="J18" s="8"/>
      <c r="K18" s="8"/>
      <c r="L18" s="8"/>
      <c r="M18" s="8"/>
      <c r="N18" s="9" t="s">
        <v>37</v>
      </c>
      <c r="O18" s="9"/>
    </row>
    <row r="19" customFormat="false" ht="23.85" hidden="false" customHeight="false" outlineLevel="0" collapsed="false">
      <c r="A19" s="10" t="s">
        <v>136</v>
      </c>
      <c r="B19" s="10" t="s">
        <v>137</v>
      </c>
      <c r="C19" s="10" t="s">
        <v>131</v>
      </c>
      <c r="D19" s="10" t="s">
        <v>138</v>
      </c>
      <c r="E19" s="10" t="s">
        <v>33</v>
      </c>
      <c r="F19" s="10" t="s">
        <v>139</v>
      </c>
      <c r="G19" s="10" t="s">
        <v>140</v>
      </c>
      <c r="H19" s="10" t="s">
        <v>135</v>
      </c>
      <c r="I19" s="11"/>
      <c r="J19" s="11"/>
      <c r="K19" s="11"/>
      <c r="L19" s="11"/>
      <c r="M19" s="11"/>
      <c r="N19" s="12" t="s">
        <v>37</v>
      </c>
      <c r="O19" s="12"/>
    </row>
    <row r="20" customFormat="false" ht="15" hidden="false" customHeight="false" outlineLevel="0" collapsed="false">
      <c r="A20" s="7" t="s">
        <v>141</v>
      </c>
      <c r="B20" s="7" t="s">
        <v>142</v>
      </c>
      <c r="C20" s="7" t="s">
        <v>143</v>
      </c>
      <c r="D20" s="7" t="s">
        <v>144</v>
      </c>
      <c r="E20" s="7" t="s">
        <v>52</v>
      </c>
      <c r="F20" s="7" t="s">
        <v>101</v>
      </c>
      <c r="G20" s="7" t="s">
        <v>145</v>
      </c>
      <c r="H20" s="7" t="s">
        <v>146</v>
      </c>
      <c r="I20" s="8"/>
      <c r="J20" s="8"/>
      <c r="K20" s="8"/>
      <c r="L20" s="8"/>
      <c r="M20" s="8"/>
      <c r="N20" s="9" t="s">
        <v>37</v>
      </c>
      <c r="O20" s="9"/>
    </row>
    <row r="21" customFormat="false" ht="23.85" hidden="false" customHeight="false" outlineLevel="0" collapsed="false">
      <c r="A21" s="10" t="s">
        <v>147</v>
      </c>
      <c r="B21" s="10" t="s">
        <v>148</v>
      </c>
      <c r="C21" s="10" t="s">
        <v>149</v>
      </c>
      <c r="D21" s="10" t="s">
        <v>150</v>
      </c>
      <c r="E21" s="10" t="s">
        <v>33</v>
      </c>
      <c r="F21" s="10" t="s">
        <v>151</v>
      </c>
      <c r="G21" s="10" t="s">
        <v>145</v>
      </c>
      <c r="H21" s="10" t="s">
        <v>152</v>
      </c>
      <c r="I21" s="11"/>
      <c r="J21" s="11"/>
      <c r="K21" s="11"/>
      <c r="L21" s="11"/>
      <c r="M21" s="11"/>
      <c r="N21" s="12" t="s">
        <v>37</v>
      </c>
      <c r="O21" s="12"/>
    </row>
    <row r="22" customFormat="false" ht="23.85" hidden="false" customHeight="false" outlineLevel="0" collapsed="false">
      <c r="A22" s="7" t="s">
        <v>153</v>
      </c>
      <c r="B22" s="7" t="s">
        <v>154</v>
      </c>
      <c r="C22" s="7" t="s">
        <v>155</v>
      </c>
      <c r="D22" s="7" t="s">
        <v>156</v>
      </c>
      <c r="E22" s="7" t="s">
        <v>33</v>
      </c>
      <c r="F22" s="7" t="s">
        <v>157</v>
      </c>
      <c r="G22" s="7" t="s">
        <v>158</v>
      </c>
      <c r="H22" s="7" t="s">
        <v>159</v>
      </c>
      <c r="I22" s="8"/>
      <c r="J22" s="8"/>
      <c r="K22" s="8"/>
      <c r="L22" s="8"/>
      <c r="M22" s="8"/>
      <c r="N22" s="9" t="s">
        <v>37</v>
      </c>
      <c r="O22" s="9"/>
    </row>
    <row r="23" customFormat="false" ht="15" hidden="false" customHeight="false" outlineLevel="0" collapsed="false">
      <c r="A23" s="10" t="s">
        <v>160</v>
      </c>
      <c r="B23" s="10" t="s">
        <v>161</v>
      </c>
      <c r="C23" s="10" t="s">
        <v>162</v>
      </c>
      <c r="D23" s="10" t="s">
        <v>163</v>
      </c>
      <c r="E23" s="10" t="s">
        <v>52</v>
      </c>
      <c r="F23" s="10" t="s">
        <v>164</v>
      </c>
      <c r="G23" s="10" t="s">
        <v>145</v>
      </c>
      <c r="H23" s="10" t="s">
        <v>165</v>
      </c>
      <c r="I23" s="11"/>
      <c r="J23" s="11"/>
      <c r="K23" s="11"/>
      <c r="L23" s="11"/>
      <c r="M23" s="11"/>
      <c r="N23" s="12" t="s">
        <v>37</v>
      </c>
      <c r="O23" s="12"/>
    </row>
    <row r="24" customFormat="false" ht="23.85" hidden="false" customHeight="false" outlineLevel="0" collapsed="false">
      <c r="A24" s="7" t="s">
        <v>166</v>
      </c>
      <c r="B24" s="7" t="s">
        <v>167</v>
      </c>
      <c r="C24" s="7" t="s">
        <v>168</v>
      </c>
      <c r="D24" s="7" t="s">
        <v>169</v>
      </c>
      <c r="E24" s="7" t="s">
        <v>33</v>
      </c>
      <c r="F24" s="7" t="s">
        <v>170</v>
      </c>
      <c r="G24" s="7" t="s">
        <v>171</v>
      </c>
      <c r="H24" s="7" t="s">
        <v>172</v>
      </c>
      <c r="I24" s="8"/>
      <c r="J24" s="8"/>
      <c r="K24" s="8"/>
      <c r="L24" s="8"/>
      <c r="M24" s="8"/>
      <c r="N24" s="9" t="s">
        <v>37</v>
      </c>
      <c r="O24" s="9"/>
    </row>
    <row r="25" customFormat="false" ht="15" hidden="false" customHeight="false" outlineLevel="0" collapsed="false">
      <c r="A25" s="10" t="s">
        <v>173</v>
      </c>
      <c r="B25" s="10" t="s">
        <v>174</v>
      </c>
      <c r="C25" s="10" t="s">
        <v>175</v>
      </c>
      <c r="D25" s="10" t="s">
        <v>176</v>
      </c>
      <c r="E25" s="10" t="s">
        <v>33</v>
      </c>
      <c r="F25" s="10" t="s">
        <v>177</v>
      </c>
      <c r="G25" s="10" t="s">
        <v>171</v>
      </c>
      <c r="H25" s="10" t="s">
        <v>178</v>
      </c>
      <c r="I25" s="11"/>
      <c r="J25" s="11"/>
      <c r="K25" s="11"/>
      <c r="L25" s="11"/>
      <c r="M25" s="11"/>
      <c r="N25" s="12" t="s">
        <v>37</v>
      </c>
      <c r="O25" s="12"/>
    </row>
    <row r="26" customFormat="false" ht="23.85" hidden="false" customHeight="false" outlineLevel="0" collapsed="false">
      <c r="A26" s="7" t="s">
        <v>179</v>
      </c>
      <c r="B26" s="7" t="s">
        <v>180</v>
      </c>
      <c r="C26" s="7" t="s">
        <v>168</v>
      </c>
      <c r="D26" s="7" t="s">
        <v>181</v>
      </c>
      <c r="E26" s="7" t="s">
        <v>52</v>
      </c>
      <c r="F26" s="7" t="s">
        <v>122</v>
      </c>
      <c r="G26" s="7" t="s">
        <v>182</v>
      </c>
      <c r="H26" s="7" t="s">
        <v>172</v>
      </c>
      <c r="I26" s="8"/>
      <c r="J26" s="8"/>
      <c r="K26" s="8"/>
      <c r="L26" s="8"/>
      <c r="M26" s="8"/>
      <c r="N26" s="9" t="s">
        <v>37</v>
      </c>
      <c r="O26" s="9"/>
    </row>
  </sheetData>
  <dataValidations count="1">
    <dataValidation allowBlank="true" errorStyle="stop" operator="between" showDropDown="false" showErrorMessage="false" showInputMessage="false" sqref="N2:N26" type="list">
      <formula1>"Not started,In progress,Verified,Discrepancy found,Could not verify"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23.85" hidden="false" customHeight="false" outlineLevel="0" collapsed="false">
      <c r="A1" s="6" t="s">
        <v>183</v>
      </c>
      <c r="B1" s="6" t="s">
        <v>184</v>
      </c>
      <c r="C1" s="6" t="s">
        <v>185</v>
      </c>
      <c r="D1" s="6" t="s">
        <v>186</v>
      </c>
      <c r="E1" s="6" t="s">
        <v>187</v>
      </c>
      <c r="F1" s="6" t="s">
        <v>188</v>
      </c>
      <c r="G1" s="6" t="s">
        <v>26</v>
      </c>
      <c r="H1" s="6" t="s">
        <v>189</v>
      </c>
    </row>
    <row r="2" customFormat="false" ht="15" hidden="false" customHeight="false" outlineLevel="0" collapsed="false">
      <c r="A2" s="13" t="s">
        <v>190</v>
      </c>
      <c r="B2" s="13" t="s">
        <v>191</v>
      </c>
      <c r="C2" s="14" t="n">
        <v>172800</v>
      </c>
      <c r="D2" s="15"/>
      <c r="E2" s="12"/>
      <c r="F2" s="12"/>
      <c r="G2" s="12"/>
      <c r="H2" s="13" t="str">
        <f aca="false">IF(D2="","",IF(D2=C2,"MATCH","DIFF"))</f>
        <v/>
      </c>
    </row>
    <row r="3" customFormat="false" ht="15" hidden="false" customHeight="false" outlineLevel="0" collapsed="false">
      <c r="A3" s="13" t="s">
        <v>190</v>
      </c>
      <c r="B3" s="13" t="s">
        <v>192</v>
      </c>
      <c r="C3" s="14" t="n">
        <v>202000</v>
      </c>
      <c r="D3" s="15"/>
      <c r="E3" s="12"/>
      <c r="F3" s="12"/>
      <c r="G3" s="12"/>
      <c r="H3" s="13" t="str">
        <f aca="false">IF(D3="","",IF(D3=C3,"MATCH","DIFF"))</f>
        <v/>
      </c>
    </row>
    <row r="4" customFormat="false" ht="15" hidden="false" customHeight="false" outlineLevel="0" collapsed="false">
      <c r="A4" s="13" t="s">
        <v>190</v>
      </c>
      <c r="B4" s="13" t="s">
        <v>193</v>
      </c>
      <c r="C4" s="14" t="n">
        <v>155000</v>
      </c>
      <c r="D4" s="15"/>
      <c r="E4" s="12"/>
      <c r="F4" s="12"/>
      <c r="G4" s="12"/>
      <c r="H4" s="13" t="str">
        <f aca="false">IF(D4="","",IF(D4=C4,"MATCH","DIFF"))</f>
        <v/>
      </c>
    </row>
    <row r="5" customFormat="false" ht="15" hidden="false" customHeight="false" outlineLevel="0" collapsed="false">
      <c r="A5" s="13" t="s">
        <v>190</v>
      </c>
      <c r="B5" s="13" t="s">
        <v>194</v>
      </c>
      <c r="C5" s="14" t="n">
        <v>155000</v>
      </c>
      <c r="D5" s="15"/>
      <c r="E5" s="12"/>
      <c r="F5" s="12"/>
      <c r="G5" s="12"/>
      <c r="H5" s="13" t="str">
        <f aca="false">IF(D5="","",IF(D5=C5,"MATCH","DIFF"))</f>
        <v/>
      </c>
    </row>
    <row r="6" customFormat="false" ht="15" hidden="false" customHeight="false" outlineLevel="0" collapsed="false">
      <c r="A6" s="13" t="s">
        <v>190</v>
      </c>
      <c r="B6" s="13" t="s">
        <v>195</v>
      </c>
      <c r="C6" s="14" t="n">
        <v>190000</v>
      </c>
      <c r="D6" s="15"/>
      <c r="E6" s="12"/>
      <c r="F6" s="12"/>
      <c r="G6" s="12"/>
      <c r="H6" s="13" t="str">
        <f aca="false">IF(D6="","",IF(D6=C6,"MATCH","DIFF"))</f>
        <v/>
      </c>
    </row>
    <row r="7" customFormat="false" ht="15" hidden="false" customHeight="false" outlineLevel="0" collapsed="false">
      <c r="A7" s="13" t="s">
        <v>196</v>
      </c>
      <c r="B7" s="13" t="s">
        <v>191</v>
      </c>
      <c r="C7" s="14" t="n">
        <v>172800</v>
      </c>
      <c r="D7" s="15"/>
      <c r="E7" s="12"/>
      <c r="F7" s="12"/>
      <c r="G7" s="12"/>
      <c r="H7" s="13" t="str">
        <f aca="false">IF(D7="","",IF(D7=C7,"MATCH","DIFF"))</f>
        <v/>
      </c>
    </row>
    <row r="8" customFormat="false" ht="15" hidden="false" customHeight="false" outlineLevel="0" collapsed="false">
      <c r="A8" s="13" t="s">
        <v>196</v>
      </c>
      <c r="B8" s="13" t="s">
        <v>192</v>
      </c>
      <c r="C8" s="14" t="n">
        <v>216000</v>
      </c>
      <c r="D8" s="15"/>
      <c r="E8" s="12"/>
      <c r="F8" s="12"/>
      <c r="G8" s="12"/>
      <c r="H8" s="13" t="str">
        <f aca="false">IF(D8="","",IF(D8=C8,"MATCH","DIFF"))</f>
        <v/>
      </c>
    </row>
    <row r="9" customFormat="false" ht="15" hidden="false" customHeight="false" outlineLevel="0" collapsed="false">
      <c r="A9" s="13" t="s">
        <v>196</v>
      </c>
      <c r="B9" s="13" t="s">
        <v>193</v>
      </c>
      <c r="C9" s="14" t="n">
        <v>155000</v>
      </c>
      <c r="D9" s="15"/>
      <c r="E9" s="12"/>
      <c r="F9" s="12"/>
      <c r="G9" s="12"/>
      <c r="H9" s="13" t="str">
        <f aca="false">IF(D9="","",IF(D9=C9,"MATCH","DIFF"))</f>
        <v/>
      </c>
    </row>
    <row r="10" customFormat="false" ht="15" hidden="false" customHeight="false" outlineLevel="0" collapsed="false">
      <c r="A10" s="13" t="s">
        <v>196</v>
      </c>
      <c r="B10" s="13" t="s">
        <v>194</v>
      </c>
      <c r="C10" s="14" t="n">
        <v>155000</v>
      </c>
      <c r="D10" s="15"/>
      <c r="E10" s="12"/>
      <c r="F10" s="12"/>
      <c r="G10" s="12"/>
      <c r="H10" s="13" t="str">
        <f aca="false">IF(D10="","",IF(D10=C10,"MATCH","DIFF"))</f>
        <v/>
      </c>
    </row>
    <row r="11" customFormat="false" ht="15" hidden="false" customHeight="false" outlineLevel="0" collapsed="false">
      <c r="A11" s="13" t="s">
        <v>196</v>
      </c>
      <c r="B11" s="13" t="s">
        <v>195</v>
      </c>
      <c r="C11" s="14" t="n">
        <v>190000</v>
      </c>
      <c r="D11" s="15"/>
      <c r="E11" s="12"/>
      <c r="F11" s="12"/>
      <c r="G11" s="12"/>
      <c r="H11" s="13" t="str">
        <f aca="false">IF(D11="","",IF(D11=C11,"MATCH","DIFF"))</f>
        <v/>
      </c>
    </row>
    <row r="12" customFormat="false" ht="15" hidden="false" customHeight="false" outlineLevel="0" collapsed="false">
      <c r="A12" s="13" t="s">
        <v>197</v>
      </c>
      <c r="B12" s="13" t="s">
        <v>191</v>
      </c>
      <c r="C12" s="14" t="n">
        <v>85360</v>
      </c>
      <c r="D12" s="15"/>
      <c r="E12" s="12"/>
      <c r="F12" s="12"/>
      <c r="G12" s="12"/>
      <c r="H12" s="13" t="str">
        <f aca="false">IF(D12="","",IF(D12=C12,"MATCH","DIFF"))</f>
        <v/>
      </c>
    </row>
    <row r="13" customFormat="false" ht="15" hidden="false" customHeight="false" outlineLevel="0" collapsed="false">
      <c r="A13" s="13" t="s">
        <v>197</v>
      </c>
      <c r="B13" s="13" t="s">
        <v>192</v>
      </c>
      <c r="C13" s="14" t="n">
        <v>88400</v>
      </c>
      <c r="D13" s="15"/>
      <c r="E13" s="12"/>
      <c r="F13" s="12"/>
      <c r="G13" s="12"/>
      <c r="H13" s="13" t="str">
        <f aca="false">IF(D13="","",IF(D13=C13,"MATCH","DIFF"))</f>
        <v/>
      </c>
    </row>
    <row r="14" customFormat="false" ht="15" hidden="false" customHeight="false" outlineLevel="0" collapsed="false">
      <c r="A14" s="13" t="s">
        <v>197</v>
      </c>
      <c r="B14" s="13" t="s">
        <v>193</v>
      </c>
      <c r="C14" s="14" t="n">
        <v>83120</v>
      </c>
      <c r="D14" s="15"/>
      <c r="E14" s="12"/>
      <c r="F14" s="12"/>
      <c r="G14" s="12"/>
      <c r="H14" s="13" t="str">
        <f aca="false">IF(D14="","",IF(D14=C14,"MATCH","DIFF"))</f>
        <v/>
      </c>
    </row>
    <row r="15" customFormat="false" ht="15" hidden="false" customHeight="false" outlineLevel="0" collapsed="false">
      <c r="A15" s="13" t="s">
        <v>197</v>
      </c>
      <c r="B15" s="13" t="s">
        <v>194</v>
      </c>
      <c r="C15" s="14" t="n">
        <v>83120</v>
      </c>
      <c r="D15" s="15"/>
      <c r="E15" s="12"/>
      <c r="F15" s="12"/>
      <c r="G15" s="12"/>
      <c r="H15" s="13" t="str">
        <f aca="false">IF(D15="","",IF(D15=C15,"MATCH","DIFF"))</f>
        <v/>
      </c>
    </row>
    <row r="16" customFormat="false" ht="15" hidden="false" customHeight="false" outlineLevel="0" collapsed="false">
      <c r="A16" s="13" t="s">
        <v>197</v>
      </c>
      <c r="B16" s="13" t="s">
        <v>195</v>
      </c>
      <c r="C16" s="14" t="n">
        <v>91550</v>
      </c>
      <c r="D16" s="15"/>
      <c r="E16" s="12"/>
      <c r="F16" s="12"/>
      <c r="G16" s="12"/>
      <c r="H16" s="13" t="str">
        <f aca="false">IF(D16="","",IF(D16=C16,"MATCH","DIFF"))</f>
        <v/>
      </c>
    </row>
    <row r="17" customFormat="false" ht="15" hidden="false" customHeight="false" outlineLevel="0" collapsed="false">
      <c r="A17" s="13" t="s">
        <v>198</v>
      </c>
      <c r="B17" s="13" t="s">
        <v>199</v>
      </c>
      <c r="C17" s="14" t="n">
        <v>76800</v>
      </c>
      <c r="D17" s="15"/>
      <c r="E17" s="12"/>
      <c r="F17" s="12"/>
      <c r="G17" s="12"/>
      <c r="H17" s="13" t="str">
        <f aca="false">IF(D17="","",IF(D17=C17,"MATCH","DIFF"))</f>
        <v/>
      </c>
    </row>
    <row r="18" customFormat="false" ht="15" hidden="false" customHeight="false" outlineLevel="0" collapsed="false">
      <c r="A18" s="13" t="s">
        <v>198</v>
      </c>
      <c r="B18" s="13" t="s">
        <v>200</v>
      </c>
      <c r="C18" s="14" t="n">
        <v>87750</v>
      </c>
      <c r="D18" s="15"/>
      <c r="E18" s="12"/>
      <c r="F18" s="12"/>
      <c r="G18" s="12"/>
      <c r="H18" s="13" t="str">
        <f aca="false">IF(D18="","",IF(D18=C18,"MATCH","DIFF"))</f>
        <v/>
      </c>
    </row>
    <row r="19" customFormat="false" ht="15" hidden="false" customHeight="false" outlineLevel="0" collapsed="false">
      <c r="A19" s="13" t="s">
        <v>198</v>
      </c>
      <c r="B19" s="13" t="s">
        <v>201</v>
      </c>
      <c r="C19" s="14" t="n">
        <v>98700</v>
      </c>
      <c r="D19" s="15"/>
      <c r="E19" s="12"/>
      <c r="F19" s="12"/>
      <c r="G19" s="12"/>
      <c r="H19" s="13" t="str">
        <f aca="false">IF(D19="","",IF(D19=C19,"MATCH","DIFF"))</f>
        <v/>
      </c>
    </row>
    <row r="20" customFormat="false" ht="15" hidden="false" customHeight="false" outlineLevel="0" collapsed="false">
      <c r="A20" s="13" t="s">
        <v>198</v>
      </c>
      <c r="B20" s="13" t="s">
        <v>202</v>
      </c>
      <c r="C20" s="14" t="n">
        <v>109650</v>
      </c>
      <c r="D20" s="15"/>
      <c r="E20" s="12"/>
      <c r="F20" s="12"/>
      <c r="G20" s="12"/>
      <c r="H20" s="13" t="str">
        <f aca="false">IF(D20="","",IF(D20=C20,"MATCH","DIFF"))</f>
        <v/>
      </c>
    </row>
    <row r="21" customFormat="false" ht="15" hidden="false" customHeight="false" outlineLevel="0" collapsed="false">
      <c r="A21" s="13" t="s">
        <v>198</v>
      </c>
      <c r="B21" s="13" t="s">
        <v>203</v>
      </c>
      <c r="C21" s="14" t="n">
        <v>118450</v>
      </c>
      <c r="D21" s="15"/>
      <c r="E21" s="12"/>
      <c r="F21" s="12"/>
      <c r="G21" s="12"/>
      <c r="H21" s="13" t="str">
        <f aca="false">IF(D21="","",IF(D21=C21,"MATCH","DIFF"))</f>
        <v/>
      </c>
    </row>
    <row r="22" customFormat="false" ht="15" hidden="false" customHeight="false" outlineLevel="0" collapsed="false">
      <c r="A22" s="13" t="s">
        <v>204</v>
      </c>
      <c r="B22" s="13" t="s">
        <v>199</v>
      </c>
      <c r="C22" s="14" t="n">
        <v>74650</v>
      </c>
      <c r="D22" s="15"/>
      <c r="E22" s="12"/>
      <c r="F22" s="12"/>
      <c r="G22" s="12"/>
      <c r="H22" s="13" t="str">
        <f aca="false">IF(D22="","",IF(D22=C22,"MATCH","DIFF"))</f>
        <v/>
      </c>
    </row>
    <row r="23" customFormat="false" ht="15" hidden="false" customHeight="false" outlineLevel="0" collapsed="false">
      <c r="A23" s="13" t="s">
        <v>204</v>
      </c>
      <c r="B23" s="13" t="s">
        <v>200</v>
      </c>
      <c r="C23" s="14" t="n">
        <v>85300</v>
      </c>
      <c r="D23" s="15"/>
      <c r="E23" s="12"/>
      <c r="F23" s="12"/>
      <c r="G23" s="12"/>
      <c r="H23" s="13" t="str">
        <f aca="false">IF(D23="","",IF(D23=C23,"MATCH","DIFF"))</f>
        <v/>
      </c>
    </row>
    <row r="24" customFormat="false" ht="15" hidden="false" customHeight="false" outlineLevel="0" collapsed="false">
      <c r="A24" s="13" t="s">
        <v>204</v>
      </c>
      <c r="B24" s="13" t="s">
        <v>201</v>
      </c>
      <c r="C24" s="14" t="n">
        <v>95950</v>
      </c>
      <c r="D24" s="15"/>
      <c r="E24" s="12"/>
      <c r="F24" s="12"/>
      <c r="G24" s="12"/>
      <c r="H24" s="13" t="str">
        <f aca="false">IF(D24="","",IF(D24=C24,"MATCH","DIFF"))</f>
        <v/>
      </c>
    </row>
    <row r="25" customFormat="false" ht="15" hidden="false" customHeight="false" outlineLevel="0" collapsed="false">
      <c r="A25" s="13" t="s">
        <v>204</v>
      </c>
      <c r="B25" s="13" t="s">
        <v>202</v>
      </c>
      <c r="C25" s="14" t="n">
        <v>106600</v>
      </c>
      <c r="D25" s="15"/>
      <c r="E25" s="12"/>
      <c r="F25" s="12"/>
      <c r="G25" s="12"/>
      <c r="H25" s="13" t="str">
        <f aca="false">IF(D25="","",IF(D25=C25,"MATCH","DIFF"))</f>
        <v/>
      </c>
    </row>
    <row r="26" customFormat="false" ht="15" hidden="false" customHeight="false" outlineLevel="0" collapsed="false">
      <c r="A26" s="13" t="s">
        <v>204</v>
      </c>
      <c r="B26" s="13" t="s">
        <v>203</v>
      </c>
      <c r="C26" s="14" t="n">
        <v>115150</v>
      </c>
      <c r="D26" s="15"/>
      <c r="E26" s="12"/>
      <c r="F26" s="12"/>
      <c r="G26" s="12"/>
      <c r="H26" s="13" t="str">
        <f aca="false">IF(D26="","",IF(D26=C26,"MATCH","DIFF"))</f>
        <v/>
      </c>
    </row>
    <row r="27" customFormat="false" ht="15" hidden="false" customHeight="false" outlineLevel="0" collapsed="false">
      <c r="A27" s="13" t="s">
        <v>205</v>
      </c>
      <c r="B27" s="13" t="s">
        <v>199</v>
      </c>
      <c r="C27" s="14" t="n">
        <v>88400</v>
      </c>
      <c r="D27" s="15"/>
      <c r="E27" s="12"/>
      <c r="F27" s="12"/>
      <c r="G27" s="12"/>
      <c r="H27" s="13" t="str">
        <f aca="false">IF(D27="","",IF(D27=C27,"MATCH","DIFF"))</f>
        <v/>
      </c>
    </row>
    <row r="28" customFormat="false" ht="15" hidden="false" customHeight="false" outlineLevel="0" collapsed="false">
      <c r="A28" s="13" t="s">
        <v>205</v>
      </c>
      <c r="B28" s="13" t="s">
        <v>200</v>
      </c>
      <c r="C28" s="14" t="n">
        <v>101000</v>
      </c>
      <c r="D28" s="15"/>
      <c r="E28" s="12"/>
      <c r="F28" s="12"/>
      <c r="G28" s="12"/>
      <c r="H28" s="13" t="str">
        <f aca="false">IF(D28="","",IF(D28=C28,"MATCH","DIFF"))</f>
        <v/>
      </c>
    </row>
    <row r="29" customFormat="false" ht="15" hidden="false" customHeight="false" outlineLevel="0" collapsed="false">
      <c r="A29" s="13" t="s">
        <v>205</v>
      </c>
      <c r="B29" s="13" t="s">
        <v>201</v>
      </c>
      <c r="C29" s="14" t="n">
        <v>113650</v>
      </c>
      <c r="D29" s="15"/>
      <c r="E29" s="12"/>
      <c r="F29" s="12"/>
      <c r="G29" s="12"/>
      <c r="H29" s="13" t="str">
        <f aca="false">IF(D29="","",IF(D29=C29,"MATCH","DIFF"))</f>
        <v/>
      </c>
    </row>
    <row r="30" customFormat="false" ht="15" hidden="false" customHeight="false" outlineLevel="0" collapsed="false">
      <c r="A30" s="13" t="s">
        <v>205</v>
      </c>
      <c r="B30" s="13" t="s">
        <v>202</v>
      </c>
      <c r="C30" s="14" t="n">
        <v>126250</v>
      </c>
      <c r="D30" s="15"/>
      <c r="E30" s="12"/>
      <c r="F30" s="12"/>
      <c r="G30" s="12"/>
      <c r="H30" s="13" t="str">
        <f aca="false">IF(D30="","",IF(D30=C30,"MATCH","DIFF"))</f>
        <v/>
      </c>
    </row>
    <row r="31" customFormat="false" ht="15" hidden="false" customHeight="false" outlineLevel="0" collapsed="false">
      <c r="A31" s="13" t="s">
        <v>205</v>
      </c>
      <c r="B31" s="13" t="s">
        <v>203</v>
      </c>
      <c r="C31" s="14" t="n">
        <v>136350</v>
      </c>
      <c r="D31" s="15"/>
      <c r="E31" s="12"/>
      <c r="F31" s="12"/>
      <c r="G31" s="12"/>
      <c r="H31" s="13" t="str">
        <f aca="false">IF(D31="","",IF(D31=C31,"MATCH","DIFF"))</f>
        <v/>
      </c>
    </row>
    <row r="32" customFormat="false" ht="15" hidden="false" customHeight="false" outlineLevel="0" collapsed="false">
      <c r="A32" s="13" t="s">
        <v>206</v>
      </c>
      <c r="B32" s="13" t="s">
        <v>199</v>
      </c>
      <c r="C32" s="14" t="n">
        <v>87300</v>
      </c>
      <c r="D32" s="15"/>
      <c r="E32" s="12"/>
      <c r="F32" s="12"/>
      <c r="G32" s="12"/>
      <c r="H32" s="13" t="str">
        <f aca="false">IF(D32="","",IF(D32=C32,"MATCH","DIFF"))</f>
        <v/>
      </c>
    </row>
    <row r="33" customFormat="false" ht="15" hidden="false" customHeight="false" outlineLevel="0" collapsed="false">
      <c r="A33" s="13" t="s">
        <v>206</v>
      </c>
      <c r="B33" s="13" t="s">
        <v>200</v>
      </c>
      <c r="C33" s="14" t="n">
        <v>99760</v>
      </c>
      <c r="D33" s="15"/>
      <c r="E33" s="12"/>
      <c r="F33" s="12"/>
      <c r="G33" s="12"/>
      <c r="H33" s="13" t="str">
        <f aca="false">IF(D33="","",IF(D33=C33,"MATCH","DIFF"))</f>
        <v/>
      </c>
    </row>
    <row r="34" customFormat="false" ht="15" hidden="false" customHeight="false" outlineLevel="0" collapsed="false">
      <c r="A34" s="13" t="s">
        <v>206</v>
      </c>
      <c r="B34" s="13" t="s">
        <v>201</v>
      </c>
      <c r="C34" s="14" t="n">
        <v>112230</v>
      </c>
      <c r="D34" s="15"/>
      <c r="E34" s="12"/>
      <c r="F34" s="12"/>
      <c r="G34" s="12"/>
      <c r="H34" s="13" t="str">
        <f aca="false">IF(D34="","",IF(D34=C34,"MATCH","DIFF"))</f>
        <v/>
      </c>
    </row>
    <row r="35" customFormat="false" ht="15" hidden="false" customHeight="false" outlineLevel="0" collapsed="false">
      <c r="A35" s="13" t="s">
        <v>206</v>
      </c>
      <c r="B35" s="13" t="s">
        <v>202</v>
      </c>
      <c r="C35" s="14" t="n">
        <v>124680</v>
      </c>
      <c r="D35" s="15"/>
      <c r="E35" s="12"/>
      <c r="F35" s="12"/>
      <c r="G35" s="12"/>
      <c r="H35" s="13" t="str">
        <f aca="false">IF(D35="","",IF(D35=C35,"MATCH","DIFF"))</f>
        <v/>
      </c>
    </row>
    <row r="36" customFormat="false" ht="15" hidden="false" customHeight="false" outlineLevel="0" collapsed="false">
      <c r="A36" s="13" t="s">
        <v>206</v>
      </c>
      <c r="B36" s="13" t="s">
        <v>203</v>
      </c>
      <c r="C36" s="14" t="n">
        <v>134680</v>
      </c>
      <c r="D36" s="15"/>
      <c r="E36" s="12"/>
      <c r="F36" s="12"/>
      <c r="G36" s="12"/>
      <c r="H36" s="13" t="str">
        <f aca="false">IF(D36="","",IF(D36=C36,"MATCH","DIFF"))</f>
        <v/>
      </c>
    </row>
    <row r="37" customFormat="false" ht="15" hidden="false" customHeight="false" outlineLevel="0" collapsed="false">
      <c r="A37" s="13" t="s">
        <v>207</v>
      </c>
      <c r="B37" s="13" t="s">
        <v>199</v>
      </c>
      <c r="C37" s="14" t="n">
        <v>62650</v>
      </c>
      <c r="D37" s="15"/>
      <c r="E37" s="12"/>
      <c r="F37" s="12"/>
      <c r="G37" s="12"/>
      <c r="H37" s="13" t="str">
        <f aca="false">IF(D37="","",IF(D37=C37,"MATCH","DIFF"))</f>
        <v/>
      </c>
    </row>
    <row r="38" customFormat="false" ht="15" hidden="false" customHeight="false" outlineLevel="0" collapsed="false">
      <c r="A38" s="13" t="s">
        <v>207</v>
      </c>
      <c r="B38" s="13" t="s">
        <v>200</v>
      </c>
      <c r="C38" s="14" t="n">
        <v>71600</v>
      </c>
      <c r="D38" s="15"/>
      <c r="E38" s="12"/>
      <c r="F38" s="12"/>
      <c r="G38" s="12"/>
      <c r="H38" s="13" t="str">
        <f aca="false">IF(D38="","",IF(D38=C38,"MATCH","DIFF"))</f>
        <v/>
      </c>
    </row>
    <row r="39" customFormat="false" ht="15" hidden="false" customHeight="false" outlineLevel="0" collapsed="false">
      <c r="A39" s="13" t="s">
        <v>207</v>
      </c>
      <c r="B39" s="13" t="s">
        <v>201</v>
      </c>
      <c r="C39" s="14" t="n">
        <v>80550</v>
      </c>
      <c r="D39" s="15"/>
      <c r="E39" s="12"/>
      <c r="F39" s="12"/>
      <c r="G39" s="12"/>
      <c r="H39" s="13" t="str">
        <f aca="false">IF(D39="","",IF(D39=C39,"MATCH","DIFF"))</f>
        <v/>
      </c>
    </row>
    <row r="40" customFormat="false" ht="15" hidden="false" customHeight="false" outlineLevel="0" collapsed="false">
      <c r="A40" s="13" t="s">
        <v>207</v>
      </c>
      <c r="B40" s="13" t="s">
        <v>202</v>
      </c>
      <c r="C40" s="14" t="n">
        <v>89500</v>
      </c>
      <c r="D40" s="15"/>
      <c r="E40" s="12"/>
      <c r="F40" s="12"/>
      <c r="G40" s="12"/>
      <c r="H40" s="13" t="str">
        <f aca="false">IF(D40="","",IF(D40=C40,"MATCH","DIFF"))</f>
        <v/>
      </c>
    </row>
    <row r="41" customFormat="false" ht="15" hidden="false" customHeight="false" outlineLevel="0" collapsed="false">
      <c r="A41" s="13" t="s">
        <v>207</v>
      </c>
      <c r="B41" s="13" t="s">
        <v>203</v>
      </c>
      <c r="C41" s="14" t="n">
        <v>96700</v>
      </c>
      <c r="D41" s="15"/>
      <c r="E41" s="12"/>
      <c r="F41" s="12"/>
      <c r="G41" s="12"/>
      <c r="H41" s="13" t="str">
        <f aca="false">IF(D41="","",IF(D41=C41,"MATCH","DIFF"))</f>
        <v/>
      </c>
    </row>
    <row r="42" customFormat="false" ht="15" hidden="false" customHeight="false" outlineLevel="0" collapsed="false">
      <c r="A42" s="13" t="s">
        <v>208</v>
      </c>
      <c r="B42" s="13" t="s">
        <v>199</v>
      </c>
      <c r="C42" s="14" t="n">
        <v>77250</v>
      </c>
      <c r="D42" s="15"/>
      <c r="E42" s="12"/>
      <c r="F42" s="12"/>
      <c r="G42" s="12"/>
      <c r="H42" s="13" t="str">
        <f aca="false">IF(D42="","",IF(D42=C42,"MATCH","DIFF"))</f>
        <v/>
      </c>
    </row>
    <row r="43" customFormat="false" ht="15" hidden="false" customHeight="false" outlineLevel="0" collapsed="false">
      <c r="A43" s="13" t="s">
        <v>208</v>
      </c>
      <c r="B43" s="13" t="s">
        <v>200</v>
      </c>
      <c r="C43" s="14" t="n">
        <v>88250</v>
      </c>
      <c r="D43" s="15"/>
      <c r="E43" s="12"/>
      <c r="F43" s="12"/>
      <c r="G43" s="12"/>
      <c r="H43" s="13" t="str">
        <f aca="false">IF(D43="","",IF(D43=C43,"MATCH","DIFF"))</f>
        <v/>
      </c>
    </row>
    <row r="44" customFormat="false" ht="15" hidden="false" customHeight="false" outlineLevel="0" collapsed="false">
      <c r="A44" s="13" t="s">
        <v>208</v>
      </c>
      <c r="B44" s="13" t="s">
        <v>201</v>
      </c>
      <c r="C44" s="14" t="n">
        <v>99300</v>
      </c>
      <c r="D44" s="15"/>
      <c r="E44" s="12"/>
      <c r="F44" s="12"/>
      <c r="G44" s="12"/>
      <c r="H44" s="13" t="str">
        <f aca="false">IF(D44="","",IF(D44=C44,"MATCH","DIFF"))</f>
        <v/>
      </c>
    </row>
    <row r="45" customFormat="false" ht="15" hidden="false" customHeight="false" outlineLevel="0" collapsed="false">
      <c r="A45" s="13" t="s">
        <v>208</v>
      </c>
      <c r="B45" s="13" t="s">
        <v>202</v>
      </c>
      <c r="C45" s="14" t="n">
        <v>110300</v>
      </c>
      <c r="D45" s="15"/>
      <c r="E45" s="12"/>
      <c r="F45" s="12"/>
      <c r="G45" s="12"/>
      <c r="H45" s="13" t="str">
        <f aca="false">IF(D45="","",IF(D45=C45,"MATCH","DIFF"))</f>
        <v/>
      </c>
    </row>
    <row r="46" customFormat="false" ht="15" hidden="false" customHeight="false" outlineLevel="0" collapsed="false">
      <c r="A46" s="13" t="s">
        <v>208</v>
      </c>
      <c r="B46" s="13" t="s">
        <v>203</v>
      </c>
      <c r="C46" s="14" t="n">
        <v>119150</v>
      </c>
      <c r="D46" s="15"/>
      <c r="E46" s="12"/>
      <c r="F46" s="12"/>
      <c r="G46" s="12"/>
      <c r="H46" s="13" t="str">
        <f aca="false">IF(D46="","",IF(D46=C46,"MATCH","DIFF"))</f>
        <v/>
      </c>
    </row>
    <row r="47" customFormat="false" ht="15" hidden="false" customHeight="false" outlineLevel="0" collapsed="false">
      <c r="A47" s="13" t="s">
        <v>209</v>
      </c>
      <c r="B47" s="13" t="s">
        <v>199</v>
      </c>
      <c r="C47" s="14" t="n">
        <v>116000</v>
      </c>
      <c r="D47" s="15"/>
      <c r="E47" s="12"/>
      <c r="F47" s="12"/>
      <c r="G47" s="12"/>
      <c r="H47" s="13" t="str">
        <f aca="false">IF(D47="","",IF(D47=C47,"MATCH","DIFF"))</f>
        <v/>
      </c>
    </row>
    <row r="48" customFormat="false" ht="15" hidden="false" customHeight="false" outlineLevel="0" collapsed="false">
      <c r="A48" s="13" t="s">
        <v>209</v>
      </c>
      <c r="B48" s="13" t="s">
        <v>200</v>
      </c>
      <c r="C48" s="14" t="n">
        <v>132600</v>
      </c>
      <c r="D48" s="15"/>
      <c r="E48" s="12"/>
      <c r="F48" s="12"/>
      <c r="G48" s="12"/>
      <c r="H48" s="13" t="str">
        <f aca="false">IF(D48="","",IF(D48=C48,"MATCH","DIFF"))</f>
        <v/>
      </c>
    </row>
    <row r="49" customFormat="false" ht="15" hidden="false" customHeight="false" outlineLevel="0" collapsed="false">
      <c r="A49" s="13" t="s">
        <v>209</v>
      </c>
      <c r="B49" s="13" t="s">
        <v>201</v>
      </c>
      <c r="C49" s="14" t="n">
        <v>149150</v>
      </c>
      <c r="D49" s="15"/>
      <c r="E49" s="12"/>
      <c r="F49" s="12"/>
      <c r="G49" s="12"/>
      <c r="H49" s="13" t="str">
        <f aca="false">IF(D49="","",IF(D49=C49,"MATCH","DIFF"))</f>
        <v/>
      </c>
    </row>
    <row r="50" customFormat="false" ht="15" hidden="false" customHeight="false" outlineLevel="0" collapsed="false">
      <c r="A50" s="13" t="s">
        <v>209</v>
      </c>
      <c r="B50" s="13" t="s">
        <v>202</v>
      </c>
      <c r="C50" s="14" t="n">
        <v>165700</v>
      </c>
      <c r="D50" s="15"/>
      <c r="E50" s="12"/>
      <c r="F50" s="12"/>
      <c r="G50" s="12"/>
      <c r="H50" s="13" t="str">
        <f aca="false">IF(D50="","",IF(D50=C50,"MATCH","DIFF"))</f>
        <v/>
      </c>
    </row>
    <row r="51" customFormat="false" ht="15" hidden="false" customHeight="false" outlineLevel="0" collapsed="false">
      <c r="A51" s="13" t="s">
        <v>209</v>
      </c>
      <c r="B51" s="13" t="s">
        <v>203</v>
      </c>
      <c r="C51" s="14" t="n">
        <v>179000</v>
      </c>
      <c r="D51" s="15"/>
      <c r="E51" s="12"/>
      <c r="F51" s="12"/>
      <c r="G51" s="12"/>
      <c r="H51" s="13" t="str">
        <f aca="false">IF(D51="","",IF(D51=C51,"MATCH","DIFF"))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23.85" hidden="false" customHeight="false" outlineLevel="0" collapsed="false">
      <c r="A1" s="6" t="s">
        <v>210</v>
      </c>
      <c r="B1" s="6" t="s">
        <v>211</v>
      </c>
      <c r="C1" s="6" t="s">
        <v>212</v>
      </c>
      <c r="D1" s="6" t="s">
        <v>213</v>
      </c>
      <c r="E1" s="6" t="s">
        <v>214</v>
      </c>
      <c r="F1" s="6" t="s">
        <v>215</v>
      </c>
      <c r="G1" s="6" t="s">
        <v>216</v>
      </c>
      <c r="H1" s="6" t="s">
        <v>217</v>
      </c>
      <c r="I1" s="6" t="s">
        <v>218</v>
      </c>
      <c r="J1" s="6" t="s">
        <v>21</v>
      </c>
      <c r="K1" s="6" t="s">
        <v>219</v>
      </c>
      <c r="L1" s="6" t="s">
        <v>28</v>
      </c>
    </row>
    <row r="2" customFormat="false" ht="15" hidden="false" customHeight="false" outlineLevel="0" collapsed="false">
      <c r="A2" s="10" t="s">
        <v>192</v>
      </c>
      <c r="B2" s="10" t="s">
        <v>120</v>
      </c>
      <c r="C2" s="11" t="s">
        <v>220</v>
      </c>
      <c r="D2" s="11"/>
      <c r="E2" s="11"/>
      <c r="F2" s="11"/>
      <c r="G2" s="11" t="s">
        <v>221</v>
      </c>
      <c r="H2" s="11"/>
      <c r="I2" s="11"/>
      <c r="J2" s="11" t="s">
        <v>222</v>
      </c>
      <c r="K2" s="11"/>
      <c r="L2" s="11"/>
    </row>
    <row r="3" customFormat="false" ht="23.85" hidden="false" customHeight="false" outlineLevel="0" collapsed="false">
      <c r="A3" s="10" t="s">
        <v>195</v>
      </c>
      <c r="B3" s="10" t="s">
        <v>223</v>
      </c>
      <c r="C3" s="11" t="s">
        <v>220</v>
      </c>
      <c r="D3" s="11"/>
      <c r="E3" s="11"/>
      <c r="F3" s="11"/>
      <c r="G3" s="11" t="s">
        <v>224</v>
      </c>
      <c r="H3" s="11"/>
      <c r="I3" s="11"/>
      <c r="J3" s="11" t="s">
        <v>225</v>
      </c>
      <c r="K3" s="11"/>
      <c r="L3" s="11"/>
    </row>
    <row r="4" customFormat="false" ht="23.85" hidden="false" customHeight="false" outlineLevel="0" collapsed="false">
      <c r="A4" s="10" t="s">
        <v>226</v>
      </c>
      <c r="B4" s="10" t="s">
        <v>227</v>
      </c>
      <c r="C4" s="11" t="s">
        <v>228</v>
      </c>
      <c r="D4" s="11"/>
      <c r="E4" s="11"/>
      <c r="F4" s="11"/>
      <c r="G4" s="11" t="s">
        <v>229</v>
      </c>
      <c r="H4" s="11"/>
      <c r="I4" s="11"/>
      <c r="J4" s="11" t="s">
        <v>230</v>
      </c>
      <c r="K4" s="11"/>
      <c r="L4" s="11"/>
    </row>
    <row r="5" customFormat="false" ht="15" hidden="false" customHeight="false" outlineLevel="0" collapsed="false">
      <c r="A5" s="10" t="s">
        <v>191</v>
      </c>
      <c r="B5" s="10" t="s">
        <v>231</v>
      </c>
      <c r="C5" s="11" t="s">
        <v>220</v>
      </c>
      <c r="D5" s="11"/>
      <c r="E5" s="11"/>
      <c r="F5" s="11"/>
      <c r="G5" s="11" t="s">
        <v>229</v>
      </c>
      <c r="H5" s="11"/>
      <c r="I5" s="11"/>
      <c r="J5" s="11" t="s">
        <v>96</v>
      </c>
      <c r="K5" s="11"/>
      <c r="L5" s="11"/>
    </row>
    <row r="6" customFormat="false" ht="23.85" hidden="false" customHeight="false" outlineLevel="0" collapsed="false">
      <c r="A6" s="10" t="s">
        <v>194</v>
      </c>
      <c r="B6" s="10" t="s">
        <v>232</v>
      </c>
      <c r="C6" s="11" t="s">
        <v>220</v>
      </c>
      <c r="D6" s="11"/>
      <c r="E6" s="11"/>
      <c r="F6" s="11"/>
      <c r="G6" s="11" t="s">
        <v>233</v>
      </c>
      <c r="H6" s="11"/>
      <c r="I6" s="11"/>
      <c r="J6" s="11" t="s">
        <v>159</v>
      </c>
      <c r="K6" s="11"/>
      <c r="L6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23.85" hidden="false" customHeight="false" outlineLevel="0" collapsed="false">
      <c r="A1" s="6" t="s">
        <v>234</v>
      </c>
      <c r="B1" s="6" t="s">
        <v>235</v>
      </c>
      <c r="C1" s="6" t="s">
        <v>236</v>
      </c>
      <c r="D1" s="6" t="s">
        <v>237</v>
      </c>
      <c r="E1" s="6" t="s">
        <v>238</v>
      </c>
      <c r="F1" s="6" t="s">
        <v>239</v>
      </c>
      <c r="G1" s="6" t="s">
        <v>240</v>
      </c>
      <c r="H1" s="6" t="s">
        <v>241</v>
      </c>
      <c r="I1" s="6" t="s">
        <v>27</v>
      </c>
      <c r="J1" s="6" t="s">
        <v>242</v>
      </c>
      <c r="K1" s="6" t="s">
        <v>28</v>
      </c>
    </row>
    <row r="2" customFormat="false" ht="15" hidden="false" customHeight="fals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</sheetData>
  <dataValidations count="2">
    <dataValidation allowBlank="true" errorStyle="stop" operator="between" showDropDown="false" showErrorMessage="false" showInputMessage="false" sqref="I2:I60" type="list">
      <formula1>"Lead,Contacted,Interested,Verified,Onboarded,Declined"</formula1>
      <formula2>0</formula2>
    </dataValidation>
    <dataValidation allowBlank="true" errorStyle="stop" operator="between" showDropDown="false" showErrorMessage="false" showInputMessage="false" sqref="C2:C60" type="list">
      <formula1>"Lender,Realtor,Counselor"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2026-07-06T23:57:17Z</dcterms:created>
  <dc:creator>openpyxl</dc:creator>
  <dc:description/>
  <dc:language>en-US</dc:language>
  <cp:lastModifiedBy/>
  <dcterms:modified xsi:type="dcterms:W3CDTF">2026-07-06T23:57:17Z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